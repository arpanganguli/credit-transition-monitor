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os" sheetId="1" state="visible" r:id="rId3"/>
    <sheet name="Expected Los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<sst xmlns="http://schemas.openxmlformats.org/spreadsheetml/2006/main" count="17" uniqueCount="17">
  <si>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Debt</t>
  </si>
  <si>
    <t xml:space="preserve">EBITDA</t>
  </si>
  <si>
    <t xml:space="preserve">Cash</t>
  </si>
  <si>
    <t xml:space="preserve">Revenue</t>
  </si>
  <si>
    <t xml:space="preserve">Interest Expense</t>
  </si>
  <si>
    <t xml:space="preserve">Net Debt</t>
  </si>
  <si>
    <t xml:space="preserve">Leverage</t>
  </si>
  <si>
    <t xml:space="preserve">Net Leverage</t>
  </si>
  <si>
    <t xml:space="preserve">Interest Cover</t>
  </si>
  <si>
    <t xml:space="preserve">EBITDA Margin</t>
  </si>
  <si>
    <t xml:space="preserve">CONCAT</t>
  </si>
  <si>
    <t xml:space="preserve">Number</t>
  </si>
  <si>
    <t xml:space="preserve">PD</t>
  </si>
  <si>
    <t xml:space="preserve">LGD</t>
  </si>
  <si>
    <t xml:space="preserve">EAD</t>
  </si>
  <si>
    <t xml:space="preserve">EL</t>
  </si>
  <si>
    <t xml:space="preserve">Concat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</si>
</sst>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5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E8933"/>
      <rgbColor rgb="FFEB4B4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8933"/>
    <pageSetUpPr fitToPage="false"/>
  </sheetPr>
  <dimension ref="A1:K21"/>
  <sheetViews>
    <sheetView showFormulas="false" showGridLines="fals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2" activeCellId="0" sqref="J2"/>
    </sheetView>
  </sheetViews>
  <sheetFormatPr defaultColWidth="16.35546875" defaultRowHeight="19.9" customHeight="false" zeroHeight="false" outlineLevelRow="0" outlineLevelCol="0"/>
  <cols>
    <col collapsed="false" customWidth="false" hidden="false" outlineLevel="0" max="10" min="1" style="1" width="16.35"/>
    <col collapsed="false" customWidth="true" hidden="false" outlineLevel="0" max="11" min="11" style="1" width="48.17"/>
    <col collapsed="false" customWidth="false" hidden="false" outlineLevel="0" max="16384" min="12" style="1" width="16.35"/>
  </cols>
  <sheetData>
    <row r="1" customFormat="false" ht="20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20.45" hidden="false" customHeight="false" outlineLevel="0" collapsed="false">
      <c r="A2" s="4" t="n">
        <v>100</v>
      </c>
      <c r="B2" s="4" t="n">
        <v>20</v>
      </c>
      <c r="C2" s="4" t="n">
        <v>30</v>
      </c>
      <c r="D2" s="4" t="n">
        <v>80</v>
      </c>
      <c r="E2" s="4" t="n">
        <v>7</v>
      </c>
      <c r="F2" s="4" t="n">
        <f aca="false" t="array" ref="F2:F21">A2:A21-C2:C21</f>
        <v>70</v>
      </c>
      <c r="G2" s="4" t="n">
        <f aca="false" t="array" ref="G2:G21">A2:A21/B2:B21</f>
        <v>5</v>
      </c>
      <c r="H2" s="4" t="n">
        <f aca="false" t="array" ref="H2:H21">F2:F21/B2:B21</f>
        <v>3.5</v>
      </c>
      <c r="I2" s="4" t="n">
        <f aca="false" t="array" ref="I2:I21">B2:B21/E2:E21</f>
        <v>2.85714285714286</v>
      </c>
      <c r="J2" s="4" t="n">
        <f aca="false" t="array" ref="J2:J21">B2:B21/D2:D21</f>
        <v>0.25</v>
      </c>
      <c r="K2" s="5" t="str">
        <f aca="false">CONCATENATE("(",A2,",",B2,",",C2,",",D2,",",E2,",",F2,",",G2,",",H2,",",I2,",",J2,")",",")</f>
        <v>(100,20,30,80,7,70,5,3.5,2.85714285714286,0.25),</v>
      </c>
    </row>
    <row r="3" customFormat="false" ht="48.85" hidden="false" customHeight="false" outlineLevel="0" collapsed="false">
      <c r="A3" s="6" t="n">
        <f aca="false" t="array" ref="A3:A3">A2+NORMDIST(1,0,1,TRUE())</f>
        <v>100.841344746069</v>
      </c>
      <c r="B3" s="6" t="n">
        <f aca="false" t="array" ref="B3:B3">B2+NORMDIST(1,0,1,TRUE())</f>
        <v>20.8413447460685</v>
      </c>
      <c r="C3" s="6" t="n">
        <f aca="false" t="array" ref="C3:C3">C2+NORMDIST(1,0,1,TRUE())</f>
        <v>30.8413447460685</v>
      </c>
      <c r="D3" s="6" t="n">
        <f aca="false" t="array" ref="D3:D3">D2+NORMDIST(1,0,1,TRUE())</f>
        <v>80.8413447460685</v>
      </c>
      <c r="E3" s="6" t="n">
        <f aca="false" t="array" ref="E3:E3">E2+NORMDIST(1,0,1,TRUE())</f>
        <v>7.84134474606854</v>
      </c>
      <c r="F3" s="6" t="n">
        <v>70</v>
      </c>
      <c r="G3" s="6" t="n">
        <v>4.83852390403412</v>
      </c>
      <c r="H3" s="6" t="n">
        <v>3.35870841602985</v>
      </c>
      <c r="I3" s="6" t="n">
        <v>2.65787889972799</v>
      </c>
      <c r="J3" s="6" t="n">
        <v>0.257805517851459</v>
      </c>
      <c r="K3" s="5" t="str">
        <f aca="false">CONCATENATE("(",A3,",",B3,",",C3,",",D3,",",E3,",",F3,",",G3,",",H3,",",I3,",",J3,")",",")</f>
        <v>(100.841344746069,20.8413447460685,30.8413447460685,80.8413447460685,7.84134474606854,70,4.83852390403412,3.35870841602985,2.65787889972799,0.257805517851459),</v>
      </c>
    </row>
    <row r="4" customFormat="false" ht="48.85" hidden="false" customHeight="false" outlineLevel="0" collapsed="false">
      <c r="A4" s="4" t="n">
        <f aca="false" t="array" ref="A4:A4">A3+NORMDIST(1,0,1,TRUE())</f>
        <v>101.682689492137</v>
      </c>
      <c r="B4" s="4" t="n">
        <f aca="false" t="array" ref="B4:B4">B3+NORMDIST(1,0,1,TRUE())</f>
        <v>21.6826894921371</v>
      </c>
      <c r="C4" s="4" t="n">
        <f aca="false" t="array" ref="C4:C4">C3+NORMDIST(1,0,1,TRUE())</f>
        <v>31.6826894921371</v>
      </c>
      <c r="D4" s="4" t="n">
        <f aca="false" t="array" ref="D4:D4">D3+NORMDIST(1,0,1,TRUE())</f>
        <v>81.6826894921371</v>
      </c>
      <c r="E4" s="4" t="n">
        <f aca="false" t="array" ref="E4:E4">E3+NORMDIST(1,0,1,TRUE())</f>
        <v>8.68268949213709</v>
      </c>
      <c r="F4" s="4" t="n">
        <v>70</v>
      </c>
      <c r="G4" s="4" t="n">
        <v>4.68957919307062</v>
      </c>
      <c r="H4" s="4" t="n">
        <v>3.22838179393679</v>
      </c>
      <c r="I4" s="4" t="n">
        <v>2.49723193623043</v>
      </c>
      <c r="J4" s="4" t="n">
        <v>0.265450239542177</v>
      </c>
      <c r="K4" s="5" t="str">
        <f aca="false">CONCATENATE("(",A4,",",B4,",",C4,",",D4,",",E4,",",F4,",",G4,",",H4,",",I4,",",J4,")",",")</f>
        <v>(101.682689492137,21.6826894921371,31.6826894921371,81.6826894921371,8.68268949213709,70,4.68957919307062,3.22838179393679,2.49723193623043,0.265450239542177),</v>
      </c>
    </row>
    <row r="5" customFormat="false" ht="48.85" hidden="false" customHeight="false" outlineLevel="0" collapsed="false">
      <c r="A5" s="6" t="n">
        <f aca="false" t="array" ref="A5:A5">A4+NORMDIST(1,0,1,TRUE())</f>
        <v>102.524034238206</v>
      </c>
      <c r="B5" s="6" t="n">
        <f aca="false" t="array" ref="B5:B5">B4+NORMDIST(1,0,1,TRUE())</f>
        <v>22.5240342382056</v>
      </c>
      <c r="C5" s="6" t="n">
        <f aca="false" t="array" ref="C5:C5">C4+NORMDIST(1,0,1,TRUE())</f>
        <v>32.5240342382056</v>
      </c>
      <c r="D5" s="6" t="n">
        <f aca="false" t="array" ref="D5:D5">D4+NORMDIST(1,0,1,TRUE())</f>
        <v>82.5240342382056</v>
      </c>
      <c r="E5" s="6" t="n">
        <f aca="false" t="array" ref="E5:E5">E4+NORMDIST(1,0,1,TRUE())</f>
        <v>9.52403423820563</v>
      </c>
      <c r="F5" s="6" t="n">
        <v>70</v>
      </c>
      <c r="G5" s="6" t="n">
        <v>4.55176160513478</v>
      </c>
      <c r="H5" s="6" t="n">
        <v>3.10779140449293</v>
      </c>
      <c r="I5" s="6" t="n">
        <v>2.36496779356909</v>
      </c>
      <c r="J5" s="6" t="n">
        <v>0.272939083094145</v>
      </c>
      <c r="K5" s="5" t="str">
        <f aca="false">CONCATENATE("(",A5,",",B5,",",C5,",",D5,",",E5,",",F5,",",G5,",",H5,",",I5,",",J5,")",",")</f>
        <v>(102.524034238206,22.5240342382056,32.5240342382056,82.5240342382056,9.52403423820563,70,4.55176160513478,3.10779140449293,2.36496779356909,0.272939083094145),</v>
      </c>
    </row>
    <row r="6" customFormat="false" ht="48.85" hidden="false" customHeight="false" outlineLevel="0" collapsed="false">
      <c r="A6" s="4" t="n">
        <f aca="false" t="array" ref="A6:A6">A5+NORMDIST(1,0,1,TRUE())</f>
        <v>103.365378984274</v>
      </c>
      <c r="B6" s="4" t="n">
        <f aca="false" t="array" ref="B6:B6">B5+NORMDIST(1,0,1,TRUE())</f>
        <v>23.3653789842742</v>
      </c>
      <c r="C6" s="4" t="n">
        <f aca="false" t="array" ref="C6:C6">C5+NORMDIST(1,0,1,TRUE())</f>
        <v>33.3653789842742</v>
      </c>
      <c r="D6" s="4" t="n">
        <f aca="false" t="array" ref="D6:D6">D5+NORMDIST(1,0,1,TRUE())</f>
        <v>83.3653789842742</v>
      </c>
      <c r="E6" s="4" t="n">
        <f aca="false" t="array" ref="E6:E6">E5+NORMDIST(1,0,1,TRUE())</f>
        <v>10.3653789842742</v>
      </c>
      <c r="F6" s="4" t="n">
        <v>70</v>
      </c>
      <c r="G6" s="4" t="n">
        <v>4.42386913791739</v>
      </c>
      <c r="H6" s="4" t="n">
        <v>2.99588549567772</v>
      </c>
      <c r="I6" s="4" t="n">
        <v>2.2541750783761</v>
      </c>
      <c r="J6" s="4" t="n">
        <v>0.280276767993603</v>
      </c>
      <c r="K6" s="5" t="str">
        <f aca="false">CONCATENATE("(",A6,",",B6,",",C6,",",D6,",",E6,",",F6,",",G6,",",H6,",",I6,",",J6,")",",")</f>
        <v>(103.365378984274,23.3653789842742,33.3653789842742,83.3653789842742,10.3653789842742,70,4.42386913791739,2.99588549567772,2.2541750783761,0.280276767993603),</v>
      </c>
    </row>
    <row r="7" customFormat="false" ht="48.85" hidden="false" customHeight="false" outlineLevel="0" collapsed="false">
      <c r="A7" s="6" t="n">
        <f aca="false" t="array" ref="A7:A7">A6+NORMDIST(1,0,1,TRUE())</f>
        <v>104.206723730343</v>
      </c>
      <c r="B7" s="6" t="n">
        <f aca="false" t="array" ref="B7:B7">B6+NORMDIST(1,0,1,TRUE())</f>
        <v>24.2067237303427</v>
      </c>
      <c r="C7" s="6" t="n">
        <f aca="false" t="array" ref="C7:C7">C6+NORMDIST(1,0,1,TRUE())</f>
        <v>34.2067237303427</v>
      </c>
      <c r="D7" s="6" t="n">
        <f aca="false" t="array" ref="D7:D7">D6+NORMDIST(1,0,1,TRUE())</f>
        <v>84.2067237303427</v>
      </c>
      <c r="E7" s="6" t="n">
        <f aca="false" t="array" ref="E7:E7">E6+NORMDIST(1,0,1,TRUE())</f>
        <v>11.2067237303427</v>
      </c>
      <c r="F7" s="6" t="n">
        <v>70</v>
      </c>
      <c r="G7" s="6" t="n">
        <v>4.30486689942767</v>
      </c>
      <c r="H7" s="6" t="n">
        <v>2.89175853699921</v>
      </c>
      <c r="I7" s="6" t="n">
        <v>2.16001788861823</v>
      </c>
      <c r="J7" s="6" t="n">
        <v>0.287467825109317</v>
      </c>
      <c r="K7" s="5" t="str">
        <f aca="false">CONCATENATE("(",A7,",",B7,",",C7,",",D7,",",E7,",",F7,",",G7,",",H7,",",I7,",",J7,")",",")</f>
        <v>(104.206723730343,24.2067237303427,34.2067237303427,84.2067237303427,11.2067237303427,70,4.30486689942767,2.89175853699921,2.16001788861823,0.287467825109317),</v>
      </c>
    </row>
    <row r="8" customFormat="false" ht="48.85" hidden="false" customHeight="false" outlineLevel="0" collapsed="false">
      <c r="A8" s="4" t="n">
        <f aca="false" t="array" ref="A8:A8">A7+NORMDIST(1,0,1,TRUE())</f>
        <v>105.048068476411</v>
      </c>
      <c r="B8" s="4" t="n">
        <f aca="false" t="array" ref="B8:B8">B7+NORMDIST(1,0,1,TRUE())</f>
        <v>25.0480684764113</v>
      </c>
      <c r="C8" s="4" t="n">
        <f aca="false" t="array" ref="C8:C8">C7+NORMDIST(1,0,1,TRUE())</f>
        <v>35.0480684764113</v>
      </c>
      <c r="D8" s="4" t="n">
        <f aca="false" t="array" ref="D8:D8">D7+NORMDIST(1,0,1,TRUE())</f>
        <v>85.0480684764113</v>
      </c>
      <c r="E8" s="4" t="n">
        <f aca="false" t="array" ref="E8:E8">E7+NORMDIST(1,0,1,TRUE())</f>
        <v>12.0480684764113</v>
      </c>
      <c r="F8" s="4" t="n">
        <v>70</v>
      </c>
      <c r="G8" s="4" t="n">
        <v>4.19385904247823</v>
      </c>
      <c r="H8" s="4" t="n">
        <v>2.79462666216845</v>
      </c>
      <c r="I8" s="4" t="n">
        <v>2.07901113157288</v>
      </c>
      <c r="J8" s="4" t="n">
        <v>0.294516606022141</v>
      </c>
      <c r="K8" s="5" t="str">
        <f aca="false">CONCATENATE("(",A8,",",B8,",",C8,",",D8,",",E8,",",F8,",",G8,",",H8,",",I8,",",J8,")",",")</f>
        <v>(105.048068476411,25.0480684764113,35.0480684764113,85.0480684764113,12.0480684764113,70,4.19385904247823,2.79462666216845,2.07901113157288,0.294516606022141),</v>
      </c>
    </row>
    <row r="9" customFormat="false" ht="48.85" hidden="false" customHeight="false" outlineLevel="0" collapsed="false">
      <c r="A9" s="6" t="n">
        <f aca="false" t="array" ref="A9:A9">A8+NORMDIST(1,0,1,TRUE())</f>
        <v>105.88941322248</v>
      </c>
      <c r="B9" s="6" t="n">
        <f aca="false" t="array" ref="B9:B9">B8+NORMDIST(1,0,1,TRUE())</f>
        <v>25.8894132224798</v>
      </c>
      <c r="C9" s="6" t="n">
        <f aca="false" t="array" ref="C9:C9">C8+NORMDIST(1,0,1,TRUE())</f>
        <v>35.8894132224798</v>
      </c>
      <c r="D9" s="6" t="n">
        <f aca="false" t="array" ref="D9:D9">D8+NORMDIST(1,0,1,TRUE())</f>
        <v>85.8894132224798</v>
      </c>
      <c r="E9" s="6" t="n">
        <f aca="false" t="array" ref="E9:E9">E8+NORMDIST(1,0,1,TRUE())</f>
        <v>12.8894132224798</v>
      </c>
      <c r="F9" s="6" t="n">
        <v>70</v>
      </c>
      <c r="G9" s="6" t="n">
        <v>4.09006617154752</v>
      </c>
      <c r="H9" s="6" t="n">
        <v>2.70380790010408</v>
      </c>
      <c r="I9" s="6" t="n">
        <v>2.00857965957111</v>
      </c>
      <c r="J9" s="6" t="n">
        <v>0.301427291806248</v>
      </c>
      <c r="K9" s="5" t="str">
        <f aca="false">CONCATENATE("(",A9,",",B9,",",C9,",",D9,",",E9,",",F9,",",G9,",",H9,",",I9,",",J9,")",",")</f>
        <v>(105.88941322248,25.8894132224798,35.8894132224798,85.8894132224798,12.8894132224798,70,4.09006617154752,2.70380790010408,2.00857965957111,0.301427291806248),</v>
      </c>
    </row>
    <row r="10" customFormat="false" ht="48.85" hidden="false" customHeight="false" outlineLevel="0" collapsed="false">
      <c r="A10" s="4" t="n">
        <f aca="false" t="array" ref="A10:A10">A9+NORMDIST(1,0,1,TRUE())</f>
        <v>106.730757968548</v>
      </c>
      <c r="B10" s="4" t="n">
        <f aca="false" t="array" ref="B10:B10">B9+NORMDIST(1,0,1,TRUE())</f>
        <v>26.7307579685483</v>
      </c>
      <c r="C10" s="4" t="n">
        <f aca="false" t="array" ref="C10:C10">C9+NORMDIST(1,0,1,TRUE())</f>
        <v>36.7307579685483</v>
      </c>
      <c r="D10" s="4" t="n">
        <f aca="false" t="array" ref="D10:D10">D9+NORMDIST(1,0,1,TRUE())</f>
        <v>86.7307579685484</v>
      </c>
      <c r="E10" s="4" t="n">
        <f aca="false" t="array" ref="E10:E10">E9+NORMDIST(1,0,1,TRUE())</f>
        <v>13.7307579685483</v>
      </c>
      <c r="F10" s="4" t="n">
        <v>70</v>
      </c>
      <c r="G10" s="4" t="n">
        <v>3.99280701632661</v>
      </c>
      <c r="H10" s="4" t="n">
        <v>2.61870613928579</v>
      </c>
      <c r="I10" s="4" t="n">
        <v>1.94677948804995</v>
      </c>
      <c r="J10" s="4" t="n">
        <v>0.308203901299258</v>
      </c>
      <c r="K10" s="5" t="str">
        <f aca="false">CONCATENATE("(",A10,",",B10,",",C10,",",D10,",",E10,",",F10,",",G10,",",H10,",",I10,",",J10,")",",")</f>
        <v>(106.730757968548,26.7307579685483,36.7307579685483,86.7307579685484,13.7307579685483,70,3.99280701632661,2.61870613928579,1.94677948804995,0.308203901299258),</v>
      </c>
    </row>
    <row r="11" customFormat="false" ht="48.85" hidden="false" customHeight="false" outlineLevel="0" collapsed="false">
      <c r="A11" s="6" t="n">
        <f aca="false" t="array" ref="A11:A11">A10+NORMDIST(1,0,1,TRUE())</f>
        <v>107.572102714617</v>
      </c>
      <c r="B11" s="6" t="n">
        <f aca="false" t="array" ref="B11:B11">B10+NORMDIST(1,0,1,TRUE())</f>
        <v>27.5721027146169</v>
      </c>
      <c r="C11" s="6" t="n">
        <f aca="false" t="array" ref="C11:C11">C10+NORMDIST(1,0,1,TRUE())</f>
        <v>37.5721027146169</v>
      </c>
      <c r="D11" s="6" t="n">
        <f aca="false" t="array" ref="D11:D11">D10+NORMDIST(1,0,1,TRUE())</f>
        <v>87.5721027146169</v>
      </c>
      <c r="E11" s="6" t="n">
        <f aca="false" t="array" ref="E11:E11">E10+NORMDIST(1,0,1,TRUE())</f>
        <v>14.5721027146169</v>
      </c>
      <c r="F11" s="6" t="n">
        <v>70</v>
      </c>
      <c r="G11" s="6" t="n">
        <v>3.90148346058458</v>
      </c>
      <c r="H11" s="6" t="n">
        <v>2.5387980280115</v>
      </c>
      <c r="I11" s="6" t="n">
        <v>1.89211558925947</v>
      </c>
      <c r="J11" s="6" t="n">
        <v>0.314850298895641</v>
      </c>
      <c r="K11" s="5" t="str">
        <f aca="false">CONCATENATE("(",A11,",",B11,",",C11,",",D11,",",E11,",",F11,",",G11,",",H11,",",I11,",",J11,")",",")</f>
        <v>(107.572102714617,27.5721027146169,37.5721027146169,87.5721027146169,14.5721027146169,70,3.90148346058458,2.5387980280115,1.89211558925947,0.314850298895641),</v>
      </c>
    </row>
    <row r="12" customFormat="false" ht="48.85" hidden="false" customHeight="false" outlineLevel="0" collapsed="false">
      <c r="A12" s="4" t="n">
        <f aca="false" t="array" ref="A12:A12">A11+NORMDIST(1,0,1,TRUE())</f>
        <v>108.413447460685</v>
      </c>
      <c r="B12" s="4" t="n">
        <f aca="false" t="array" ref="B12:B12">B11+NORMDIST(1,0,1,TRUE())</f>
        <v>28.4134474606854</v>
      </c>
      <c r="C12" s="4" t="n">
        <f aca="false" t="array" ref="C12:C12">C11+NORMDIST(1,0,1,TRUE())</f>
        <v>38.4134474606854</v>
      </c>
      <c r="D12" s="4" t="n">
        <f aca="false" t="array" ref="D12:D12">D11+NORMDIST(1,0,1,TRUE())</f>
        <v>88.4134474606854</v>
      </c>
      <c r="E12" s="4" t="n">
        <f aca="false" t="array" ref="E12:E12">E11+NORMDIST(1,0,1,TRUE())</f>
        <v>15.4134474606854</v>
      </c>
      <c r="F12" s="4" t="n">
        <v>70</v>
      </c>
      <c r="G12" s="4" t="n">
        <v>3.81556823087705</v>
      </c>
      <c r="H12" s="4" t="n">
        <v>2.46362220201742</v>
      </c>
      <c r="I12" s="4" t="n">
        <v>1.84341936047459</v>
      </c>
      <c r="J12" s="4" t="n">
        <v>0.321370201895136</v>
      </c>
      <c r="K12" s="5" t="str">
        <f aca="false">CONCATENATE("(",A12,",",B12,",",C12,",",D12,",",E12,",",F12,",",G12,",",H12,",",I12,",",J12,")",",")</f>
        <v>(108.413447460685,28.4134474606854,38.4134474606854,88.4134474606854,15.4134474606854,70,3.81556823087705,2.46362220201742,1.84341936047459,0.321370201895136),</v>
      </c>
    </row>
    <row r="13" customFormat="false" ht="48.85" hidden="false" customHeight="false" outlineLevel="0" collapsed="false">
      <c r="A13" s="6" t="n">
        <f aca="false" t="array" ref="A13:A13">A12+NORMDIST(1,0,1,TRUE())</f>
        <v>109.254792206754</v>
      </c>
      <c r="B13" s="6" t="n">
        <f aca="false" t="array" ref="B13:B13">B12+NORMDIST(1,0,1,TRUE())</f>
        <v>29.254792206754</v>
      </c>
      <c r="C13" s="6" t="n">
        <f aca="false" t="array" ref="C13:C13">C12+NORMDIST(1,0,1,TRUE())</f>
        <v>39.254792206754</v>
      </c>
      <c r="D13" s="6" t="n">
        <f aca="false" t="array" ref="D13:D13">D12+NORMDIST(1,0,1,TRUE())</f>
        <v>89.254792206754</v>
      </c>
      <c r="E13" s="6" t="n">
        <f aca="false" t="array" ref="E13:E13">E12+NORMDIST(1,0,1,TRUE())</f>
        <v>16.254792206754</v>
      </c>
      <c r="F13" s="6" t="n">
        <v>70</v>
      </c>
      <c r="G13" s="6" t="n">
        <v>3.73459470963293</v>
      </c>
      <c r="H13" s="6" t="n">
        <v>2.39277037092881</v>
      </c>
      <c r="I13" s="6" t="n">
        <v>1.79976414552986</v>
      </c>
      <c r="J13" s="6" t="n">
        <v>0.32776718743557</v>
      </c>
      <c r="K13" s="5" t="str">
        <f aca="false">CONCATENATE("(",A13,",",B13,",",C13,",",D13,",",E13,",",F13,",",G13,",",H13,",",I13,",",J13,")",",")</f>
        <v>(109.254792206754,29.254792206754,39.254792206754,89.254792206754,16.254792206754,70,3.73459470963293,2.39277037092881,1.79976414552986,0.32776718743557),</v>
      </c>
    </row>
    <row r="14" customFormat="false" ht="48.85" hidden="false" customHeight="false" outlineLevel="0" collapsed="false">
      <c r="A14" s="4" t="n">
        <f aca="false" t="array" ref="A14:A14">A13+NORMDIST(1,0,1,TRUE())</f>
        <v>110.096136952823</v>
      </c>
      <c r="B14" s="4" t="n">
        <f aca="false" t="array" ref="B14:B14">B13+NORMDIST(1,0,1,TRUE())</f>
        <v>30.0961369528225</v>
      </c>
      <c r="C14" s="4" t="n">
        <f aca="false" t="array" ref="C14:C14">C13+NORMDIST(1,0,1,TRUE())</f>
        <v>40.0961369528225</v>
      </c>
      <c r="D14" s="4" t="n">
        <f aca="false" t="array" ref="D14:D14">D13+NORMDIST(1,0,1,TRUE())</f>
        <v>90.0961369528225</v>
      </c>
      <c r="E14" s="4" t="n">
        <f aca="false" t="array" ref="E14:E14">E13+NORMDIST(1,0,1,TRUE())</f>
        <v>17.0961369528225</v>
      </c>
      <c r="F14" s="4" t="n">
        <v>70</v>
      </c>
      <c r="G14" s="4" t="n">
        <v>3.65814845690677</v>
      </c>
      <c r="H14" s="4" t="n">
        <v>2.32587989979342</v>
      </c>
      <c r="I14" s="4" t="n">
        <v>1.76040570076585</v>
      </c>
      <c r="J14" s="4" t="n">
        <v>0.334044699037229</v>
      </c>
      <c r="K14" s="5" t="str">
        <f aca="false">CONCATENATE("(",A14,",",B14,",",C14,",",D14,",",E14,",",F14,",",G14,",",H14,",",I14,",",J14,")",",")</f>
        <v>(110.096136952823,30.0961369528225,40.0961369528225,90.0961369528225,17.0961369528225,70,3.65814845690677,2.32587989979342,1.76040570076585,0.334044699037229),</v>
      </c>
    </row>
    <row r="15" customFormat="false" ht="48.85" hidden="false" customHeight="false" outlineLevel="0" collapsed="false">
      <c r="A15" s="6" t="n">
        <f aca="false" t="array" ref="A15:A15">A14+NORMDIST(1,0,1,TRUE())</f>
        <v>110.937481698891</v>
      </c>
      <c r="B15" s="6" t="n">
        <f aca="false" t="array" ref="B15:B15">B14+NORMDIST(1,0,1,TRUE())</f>
        <v>30.9374816988911</v>
      </c>
      <c r="C15" s="6" t="n">
        <f aca="false" t="array" ref="C15:C15">C14+NORMDIST(1,0,1,TRUE())</f>
        <v>40.9374816988911</v>
      </c>
      <c r="D15" s="6" t="n">
        <f aca="false" t="array" ref="D15:D15">D14+NORMDIST(1,0,1,TRUE())</f>
        <v>90.9374816988911</v>
      </c>
      <c r="E15" s="6" t="n">
        <f aca="false" t="array" ref="E15:E15">E14+NORMDIST(1,0,1,TRUE())</f>
        <v>17.9374816988911</v>
      </c>
      <c r="F15" s="6" t="n">
        <v>70</v>
      </c>
      <c r="G15" s="6" t="n">
        <v>3.58586011552671</v>
      </c>
      <c r="H15" s="6" t="n">
        <v>2.26262760108587</v>
      </c>
      <c r="I15" s="6" t="n">
        <v>1.72473941538871</v>
      </c>
      <c r="J15" s="6" t="n">
        <v>0.340206052783935</v>
      </c>
      <c r="K15" s="5" t="str">
        <f aca="false">CONCATENATE("(",A15,",",B15,",",C15,",",D15,",",E15,",",F15,",",G15,",",H15,",",I15,",",J15,")",",")</f>
        <v>(110.937481698891,30.9374816988911,40.9374816988911,90.9374816988911,17.9374816988911,70,3.58586011552671,2.26262760108587,1.72473941538871,0.340206052783935),</v>
      </c>
    </row>
    <row r="16" customFormat="false" ht="48.85" hidden="false" customHeight="false" outlineLevel="0" collapsed="false">
      <c r="A16" s="4" t="n">
        <f aca="false" t="array" ref="A16:A16">A15+NORMDIST(1,0,1,TRUE())</f>
        <v>111.77882644496</v>
      </c>
      <c r="B16" s="4" t="n">
        <f aca="false" t="array" ref="B16:B16">B15+NORMDIST(1,0,1,TRUE())</f>
        <v>31.7788264449596</v>
      </c>
      <c r="C16" s="4" t="n">
        <f aca="false" t="array" ref="C16:C16">C15+NORMDIST(1,0,1,TRUE())</f>
        <v>41.7788264449596</v>
      </c>
      <c r="D16" s="4" t="n">
        <f aca="false" t="array" ref="D16:D16">D15+NORMDIST(1,0,1,TRUE())</f>
        <v>91.7788264449596</v>
      </c>
      <c r="E16" s="4" t="n">
        <f aca="false" t="array" ref="E16:E16">E15+NORMDIST(1,0,1,TRUE())</f>
        <v>18.7788264449596</v>
      </c>
      <c r="F16" s="4" t="n">
        <v>70</v>
      </c>
      <c r="G16" s="4" t="n">
        <v>3.51739944326008</v>
      </c>
      <c r="H16" s="4" t="n">
        <v>2.20272451285257</v>
      </c>
      <c r="I16" s="4" t="n">
        <v>1.69226903172585</v>
      </c>
      <c r="J16" s="4" t="n">
        <v>0.34625444316416</v>
      </c>
      <c r="K16" s="5" t="str">
        <f aca="false">CONCATENATE("(",A16,",",B16,",",C16,",",D16,",",E16,",",F16,",",G16,",",H16,",",I16,",",J16,")",",")</f>
        <v>(111.77882644496,31.7788264449596,41.7788264449596,91.7788264449596,18.7788264449596,70,3.51739944326008,2.20272451285257,1.69226903172585,0.34625444316416),</v>
      </c>
    </row>
    <row r="17" customFormat="false" ht="48.85" hidden="false" customHeight="false" outlineLevel="0" collapsed="false">
      <c r="A17" s="6" t="n">
        <f aca="false" t="array" ref="A17:A17">A16+NORMDIST(1,0,1,TRUE())</f>
        <v>112.620171191028</v>
      </c>
      <c r="B17" s="6" t="n">
        <f aca="false" t="array" ref="B17:B17">B16+NORMDIST(1,0,1,TRUE())</f>
        <v>32.6201711910282</v>
      </c>
      <c r="C17" s="6" t="n">
        <f aca="false" t="array" ref="C17:C17">C16+NORMDIST(1,0,1,TRUE())</f>
        <v>42.6201711910282</v>
      </c>
      <c r="D17" s="6" t="n">
        <f aca="false" t="array" ref="D17:D17">D16+NORMDIST(1,0,1,TRUE())</f>
        <v>92.6201711910282</v>
      </c>
      <c r="E17" s="6" t="n">
        <f aca="false" t="array" ref="E17:E17">E16+NORMDIST(1,0,1,TRUE())</f>
        <v>19.6201711910282</v>
      </c>
      <c r="F17" s="6" t="n">
        <v>70</v>
      </c>
      <c r="G17" s="6" t="n">
        <v>3.45247026851911</v>
      </c>
      <c r="H17" s="6" t="n">
        <v>2.14591148495422</v>
      </c>
      <c r="I17" s="6" t="n">
        <v>1.66258341343854</v>
      </c>
      <c r="J17" s="6" t="n">
        <v>0.352192948593772</v>
      </c>
      <c r="K17" s="5" t="str">
        <f aca="false">CONCATENATE("(",A17,",",B17,",",C17,",",D17,",",E17,",",F17,",",G17,",",H17,",",I17,",",J17,")",",")</f>
        <v>(112.620171191028,32.6201711910282,42.6201711910282,92.6201711910282,19.6201711910282,70,3.45247026851911,2.14591148495422,1.66258341343854,0.352192948593772),</v>
      </c>
    </row>
    <row r="18" customFormat="false" ht="48.85" hidden="false" customHeight="false" outlineLevel="0" collapsed="false">
      <c r="A18" s="4" t="n">
        <f aca="false" t="array" ref="A18:A18">A17+NORMDIST(1,0,1,TRUE())</f>
        <v>113.461515937097</v>
      </c>
      <c r="B18" s="4" t="n">
        <f aca="false" t="array" ref="B18:B18">B17+NORMDIST(1,0,1,TRUE())</f>
        <v>33.4615159370967</v>
      </c>
      <c r="C18" s="4" t="n">
        <f aca="false" t="array" ref="C18:C18">C17+NORMDIST(1,0,1,TRUE())</f>
        <v>43.4615159370967</v>
      </c>
      <c r="D18" s="4" t="n">
        <f aca="false" t="array" ref="D18:D18">D17+NORMDIST(1,0,1,TRUE())</f>
        <v>93.4615159370967</v>
      </c>
      <c r="E18" s="4" t="n">
        <f aca="false" t="array" ref="E18:E18">E17+NORMDIST(1,0,1,TRUE())</f>
        <v>20.4615159370967</v>
      </c>
      <c r="F18" s="4" t="n">
        <v>70</v>
      </c>
      <c r="G18" s="4" t="n">
        <v>3.39080620705857</v>
      </c>
      <c r="H18" s="4" t="n">
        <v>2.09195543117625</v>
      </c>
      <c r="I18" s="4" t="n">
        <v>1.63533904525769</v>
      </c>
      <c r="J18" s="4" t="n">
        <v>0.358024536640489</v>
      </c>
      <c r="K18" s="5" t="str">
        <f aca="false">CONCATENATE("(",A18,",",B18,",",C18,",",D18,",",E18,",",F18,",",G18,",",H18,",",I18,",",J18,")",",")</f>
        <v>(113.461515937097,33.4615159370967,43.4615159370967,93.4615159370967,20.4615159370967,70,3.39080620705857,2.09195543117625,1.63533904525769,0.358024536640489),</v>
      </c>
    </row>
    <row r="19" customFormat="false" ht="48.85" hidden="false" customHeight="false" outlineLevel="0" collapsed="false">
      <c r="A19" s="6" t="n">
        <f aca="false" t="array" ref="A19:A19">A18+NORMDIST(1,0,1,TRUE())</f>
        <v>114.302860683165</v>
      </c>
      <c r="B19" s="6" t="n">
        <f aca="false" t="array" ref="B19:B19">B18+NORMDIST(1,0,1,TRUE())</f>
        <v>34.3028606831652</v>
      </c>
      <c r="C19" s="6" t="n">
        <f aca="false" t="array" ref="C19:C19">C18+NORMDIST(1,0,1,TRUE())</f>
        <v>44.3028606831652</v>
      </c>
      <c r="D19" s="6" t="n">
        <f aca="false" t="array" ref="D19:D19">D18+NORMDIST(1,0,1,TRUE())</f>
        <v>94.3028606831652</v>
      </c>
      <c r="E19" s="6" t="n">
        <f aca="false" t="array" ref="E19:E19">E18+NORMDIST(1,0,1,TRUE())</f>
        <v>21.3028606831652</v>
      </c>
      <c r="F19" s="6" t="n">
        <v>70</v>
      </c>
      <c r="G19" s="6" t="n">
        <v>3.33216700901163</v>
      </c>
      <c r="H19" s="6" t="n">
        <v>2.04064613288517</v>
      </c>
      <c r="I19" s="6" t="n">
        <v>1.61024667969938</v>
      </c>
      <c r="J19" s="6" t="n">
        <v>0.363752068968666</v>
      </c>
      <c r="K19" s="5" t="str">
        <f aca="false">CONCATENATE("(",A19,",",B19,",",C19,",",D19,",",E19,",",F19,",",G19,",",H19,",",I19,",",J19,")",",")</f>
        <v>(114.302860683165,34.3028606831652,44.3028606831652,94.3028606831652,21.3028606831652,70,3.33216700901163,2.04064613288517,1.61024667969938,0.363752068968666),</v>
      </c>
    </row>
    <row r="20" customFormat="false" ht="48.85" hidden="false" customHeight="false" outlineLevel="0" collapsed="false">
      <c r="A20" s="4" t="n">
        <f aca="false" t="array" ref="A20:A20">A19+NORMDIST(1,0,1,TRUE())</f>
        <v>115.144205429234</v>
      </c>
      <c r="B20" s="4" t="n">
        <f aca="false" t="array" ref="B20:B20">B19+NORMDIST(1,0,1,TRUE())</f>
        <v>35.1442054292338</v>
      </c>
      <c r="C20" s="4" t="n">
        <f aca="false" t="array" ref="C20:C20">C19+NORMDIST(1,0,1,TRUE())</f>
        <v>45.1442054292338</v>
      </c>
      <c r="D20" s="4" t="n">
        <f aca="false" t="array" ref="D20:D20">D19+NORMDIST(1,0,1,TRUE())</f>
        <v>95.1442054292338</v>
      </c>
      <c r="E20" s="4" t="n">
        <f aca="false" t="array" ref="E20:E20">E19+NORMDIST(1,0,1,TRUE())</f>
        <v>22.1442054292338</v>
      </c>
      <c r="F20" s="4" t="n">
        <v>70</v>
      </c>
      <c r="G20" s="4" t="n">
        <v>3.27633543063273</v>
      </c>
      <c r="H20" s="4" t="n">
        <v>1.99179350180364</v>
      </c>
      <c r="I20" s="4" t="n">
        <v>1.58706102784063</v>
      </c>
      <c r="J20" s="4" t="n">
        <v>0.369378306021729</v>
      </c>
      <c r="K20" s="5" t="str">
        <f aca="false">CONCATENATE("(",A20,",",B20,",",C20,",",D20,",",E20,",",F20,",",G20,",",H20,",",I20,",",J20,")",",")</f>
        <v>(115.144205429234,35.1442054292338,45.1442054292338,95.1442054292338,22.1442054292338,70,3.27633543063273,1.99179350180364,1.58706102784063,0.369378306021729),</v>
      </c>
    </row>
    <row r="21" customFormat="false" ht="48.85" hidden="false" customHeight="false" outlineLevel="0" collapsed="false">
      <c r="A21" s="6" t="n">
        <f aca="false" t="array" ref="A21:A21">A20+NORMDIST(1,0,1,TRUE())</f>
        <v>115.985550175302</v>
      </c>
      <c r="B21" s="6" t="n">
        <f aca="false" t="array" ref="B21:B21">B20+NORMDIST(1,0,1,TRUE())</f>
        <v>35.9855501753023</v>
      </c>
      <c r="C21" s="6" t="n">
        <f aca="false" t="array" ref="C21:C21">C20+NORMDIST(1,0,1,TRUE())</f>
        <v>45.9855501753023</v>
      </c>
      <c r="D21" s="6" t="n">
        <f aca="false" t="array" ref="D21:D21">D20+NORMDIST(1,0,1,TRUE())</f>
        <v>95.9855501753023</v>
      </c>
      <c r="E21" s="6" t="n">
        <f aca="false" t="array" ref="E21:E21">E20+NORMDIST(1,0,1,TRUE())</f>
        <v>22.9855501753023</v>
      </c>
      <c r="F21" s="6" t="n">
        <v>70</v>
      </c>
      <c r="G21" s="6" t="n">
        <v>3.22311454487379</v>
      </c>
      <c r="H21" s="6" t="n">
        <v>1.94522522676456</v>
      </c>
      <c r="I21" s="6" t="n">
        <v>1.56557271419887</v>
      </c>
      <c r="J21" s="6" t="n">
        <v>0.374905911458344</v>
      </c>
      <c r="K21" s="5" t="str">
        <f aca="false">CONCATENATE("(",A21,",",B21,",",C21,",",D21,",",E21,",",F21,",",G21,",",H21,",",I21,",",J21,")",",")</f>
        <v>(115.985550175302,35.9855501753023,45.9855501753023,95.9855501753023,22.9855501753023,70,3.22311454487379,1.94522522676456,1.56557271419887,0.374905911458344),</v>
      </c>
    </row>
  </sheetData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4B46"/>
    <pageSetUpPr fitToPage="true"/>
  </sheetPr>
  <dimension ref="A1:F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4" activeCellId="0" sqref="F4"/>
    </sheetView>
  </sheetViews>
  <sheetFormatPr defaultColWidth="16.35546875" defaultRowHeight="19.9" customHeight="true" zeroHeight="false" outlineLevelRow="0" outlineLevelCol="0"/>
  <cols>
    <col collapsed="false" customWidth="true" hidden="false" outlineLevel="0" max="1" min="1" style="1" width="7.86"/>
    <col collapsed="false" customWidth="true" hidden="false" outlineLevel="0" max="2" min="2" style="1" width="18.93"/>
    <col collapsed="false" customWidth="false" hidden="false" outlineLevel="0" max="5" min="3" style="1" width="16.35"/>
    <col collapsed="false" customWidth="true" hidden="false" outlineLevel="0" max="6" min="6" style="1" width="57.19"/>
    <col collapsed="false" customWidth="false" hidden="false" outlineLevel="0" max="16384" min="7" style="1" width="16.35"/>
  </cols>
  <sheetData>
    <row r="1" customFormat="false" ht="20.45" hidden="false" customHeight="tru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customFormat="false" ht="20.45" hidden="false" customHeight="true" outlineLevel="0" collapsed="false">
      <c r="A2" s="5" t="n">
        <v>0.0001</v>
      </c>
      <c r="B2" s="5" t="n">
        <f aca="false" t="array" ref="B2:B2">NORMDIST(A2,0,1,FALSE())</f>
        <v>0.398942278406721</v>
      </c>
      <c r="C2" s="5" t="n">
        <v>0.45</v>
      </c>
      <c r="D2" s="5" t="n">
        <f aca="false" t="array" ref="D2:D2">NORMSDIST(A2)*100000</f>
        <v>50003.9894227974</v>
      </c>
      <c r="E2" s="5" t="n">
        <f aca="false" t="array" ref="E2:E10">B2:B10*C2:C10*D2:D10</f>
        <v>8976.91746139037</v>
      </c>
      <c r="F2" s="5" t="str">
        <f aca="false" t="array" ref="F2:F2">CONCATENATE(B2,",",C2,",",D2,",",E2)</f>
        <v>0.398942278406721,0.45,50003.9894227974,8976.91746139037</v>
      </c>
    </row>
    <row r="3" customFormat="false" ht="20.2" hidden="false" customHeight="true" outlineLevel="0" collapsed="false">
      <c r="A3" s="7" t="n">
        <f aca="false" t="array" ref="A3:A3">A2+0.0001</f>
        <v>0.0002</v>
      </c>
      <c r="B3" s="7" t="n">
        <f aca="false" t="array" ref="B3:B3">NORMDIST(A3,0,1,FALSE())</f>
        <v>0.398942272422587</v>
      </c>
      <c r="C3" s="7" t="n">
        <v>0.45</v>
      </c>
      <c r="D3" s="7" t="n">
        <f aca="false" t="array" ref="D3:D3">NORMSDIST(A3)*100000</f>
        <v>50007.9788455548</v>
      </c>
      <c r="E3" s="7" t="n">
        <v>8977.63352395784</v>
      </c>
      <c r="F3" s="7" t="str">
        <f aca="false" t="array" ref="F3:F3">CONCATENATE(B3,",",C3,",",D3,",",E3)</f>
        <v>0.398942272422587,0.45,50007.9788455548,8977.63352395784</v>
      </c>
    </row>
    <row r="4" customFormat="false" ht="20.2" hidden="false" customHeight="true" outlineLevel="0" collapsed="false">
      <c r="A4" s="5" t="n">
        <f aca="false" t="array" ref="A4:A4">A3+0.0001</f>
        <v>0.0003</v>
      </c>
      <c r="B4" s="5" t="n">
        <f aca="false" t="array" ref="B4:B4">NORMDIST(A4,0,1,FALSE())</f>
        <v>0.398942262449031</v>
      </c>
      <c r="C4" s="5" t="n">
        <v>0.45</v>
      </c>
      <c r="D4" s="5" t="n">
        <f aca="false" t="array" ref="D4:D4">NORMSDIST(A4)*100000</f>
        <v>50011.9682682325</v>
      </c>
      <c r="E4" s="5" t="n">
        <v>8978.34949670601</v>
      </c>
      <c r="F4" s="5" t="str">
        <f aca="false" t="array" ref="F4:F4">CONCATENATE(B4,",",C4,",",D4,",",E4)</f>
        <v>0.398942262449031,0.45,50011.9682682325,8978.34949670601</v>
      </c>
    </row>
    <row r="5" customFormat="false" ht="20.2" hidden="false" customHeight="true" outlineLevel="0" collapsed="false">
      <c r="A5" s="7" t="n">
        <f aca="false" t="array" ref="A5:A5">A4+0.0001</f>
        <v>0.0004</v>
      </c>
      <c r="B5" s="7" t="n">
        <f aca="false" t="array" ref="B5:B5">NORMDIST(A5,0,1,FALSE())</f>
        <v>0.398942248486052</v>
      </c>
      <c r="C5" s="7" t="n">
        <v>0.45</v>
      </c>
      <c r="D5" s="7" t="n">
        <f aca="false" t="array" ref="D5:D5">NORMSDIST(A5)*100000</f>
        <v>50015.9576907905</v>
      </c>
      <c r="E5" s="7" t="n">
        <v>8979.06537960624</v>
      </c>
      <c r="F5" s="7" t="str">
        <f aca="false" t="array" ref="F5:F5">CONCATENATE(B5,",",C5,",",D5,",",E5)</f>
        <v>0.398942248486052,0.45,50015.9576907905,8979.06537960624</v>
      </c>
    </row>
    <row r="6" customFormat="false" ht="20.2" hidden="false" customHeight="true" outlineLevel="0" collapsed="false">
      <c r="A6" s="5" t="n">
        <f aca="false" t="array" ref="A6:A6">A5+0.0001</f>
        <v>0.0005</v>
      </c>
      <c r="B6" s="5" t="n">
        <f aca="false" t="array" ref="B6:B6">NORMDIST(A6,0,1,FALSE())</f>
        <v>0.398942230533651</v>
      </c>
      <c r="C6" s="5" t="n">
        <v>0.45</v>
      </c>
      <c r="D6" s="5" t="n">
        <f aca="false" t="array" ref="D6:D6">NORMSDIST(A6)*100000</f>
        <v>50019.9471131889</v>
      </c>
      <c r="E6" s="5" t="n">
        <v>8979.78117262988</v>
      </c>
      <c r="F6" s="5" t="str">
        <f aca="false" t="array" ref="F6:F6">CONCATENATE(B6,",",C6,",",D6,",",E6)</f>
        <v>0.398942230533651,0.45,50019.9471131889,8979.78117262988</v>
      </c>
    </row>
    <row r="7" customFormat="false" ht="20.2" hidden="false" customHeight="true" outlineLevel="0" collapsed="false">
      <c r="A7" s="7" t="n">
        <f aca="false" t="array" ref="A7:A7">A6+0.0001</f>
        <v>0.0006</v>
      </c>
      <c r="B7" s="7" t="n">
        <f aca="false" t="array" ref="B7:B7">NORMDIST(A7,0,1,FALSE())</f>
        <v>0.398942208591829</v>
      </c>
      <c r="C7" s="7" t="n">
        <v>0.45</v>
      </c>
      <c r="D7" s="7" t="n">
        <f aca="false" t="array" ref="D7:D7">NORMSDIST(A7)*100000</f>
        <v>50023.9365353879</v>
      </c>
      <c r="E7" s="7" t="n">
        <v>8980.4968757483</v>
      </c>
      <c r="F7" s="7" t="str">
        <f aca="false" t="array" ref="F7:F7">CONCATENATE(B7,",",C7,",",D7,",",E7)</f>
        <v>0.398942208591829,0.45,50023.9365353879,8980.4968757483</v>
      </c>
    </row>
    <row r="8" customFormat="false" ht="20.2" hidden="false" customHeight="true" outlineLevel="0" collapsed="false">
      <c r="A8" s="5" t="n">
        <f aca="false" t="array" ref="A8:A8">A7+0.0001</f>
        <v>0.0007</v>
      </c>
      <c r="B8" s="5" t="n">
        <f aca="false" t="array" ref="B8:B8">NORMDIST(A8,0,1,FALSE())</f>
        <v>0.398942182660586</v>
      </c>
      <c r="C8" s="5" t="n">
        <v>0.45</v>
      </c>
      <c r="D8" s="5" t="n">
        <f aca="false" t="array" ref="D8:D8">NORMSDIST(A8)*100000</f>
        <v>50027.9259573475</v>
      </c>
      <c r="E8" s="5" t="n">
        <v>8981.21248893288</v>
      </c>
      <c r="F8" s="5" t="str">
        <f aca="false" t="array" ref="F8:F8">CONCATENATE(B8,",",C8,",",D8,",",E8)</f>
        <v>0.398942182660586,0.45,50027.9259573475,8981.21248893288</v>
      </c>
    </row>
    <row r="9" customFormat="false" ht="20.2" hidden="false" customHeight="true" outlineLevel="0" collapsed="false">
      <c r="A9" s="7" t="n">
        <f aca="false" t="array" ref="A9:A9">A8+0.0001</f>
        <v>0.0008</v>
      </c>
      <c r="B9" s="7" t="n">
        <f aca="false" t="array" ref="B9:B9">NORMDIST(A9,0,1,FALSE())</f>
        <v>0.398942152739923</v>
      </c>
      <c r="C9" s="7" t="n">
        <v>0.45</v>
      </c>
      <c r="D9" s="7" t="n">
        <f aca="false" t="array" ref="D9:D9">NORMSDIST(A9)*100000</f>
        <v>50031.9153790278</v>
      </c>
      <c r="E9" s="7" t="n">
        <v>8981.92801215496</v>
      </c>
      <c r="F9" s="7" t="str">
        <f aca="false" t="array" ref="F9:F9">CONCATENATE(B9,",",C9,",",D9,",",E9)</f>
        <v>0.398942152739923,0.45,50031.9153790278,8981.92801215496</v>
      </c>
    </row>
    <row r="10" customFormat="false" ht="20.2" hidden="false" customHeight="true" outlineLevel="0" collapsed="false">
      <c r="A10" s="5" t="n">
        <f aca="false" t="array" ref="A10:A10">A9+0.0001</f>
        <v>0.0009</v>
      </c>
      <c r="B10" s="5" t="n">
        <f aca="false" t="array" ref="B10:B10">NORMDIST(A10,0,1,FALSE())</f>
        <v>0.398942118829842</v>
      </c>
      <c r="C10" s="5" t="n">
        <v>0.45</v>
      </c>
      <c r="D10" s="5" t="n">
        <f aca="false" t="array" ref="D10:D10">NORMSDIST(A10)*100000</f>
        <v>50035.904800389</v>
      </c>
      <c r="E10" s="5" t="n">
        <v>8982.64344538595</v>
      </c>
      <c r="F10" s="5" t="str">
        <f aca="false" t="array" ref="F10:F10">CONCATENATE(B10,",",C10,",",D10,",",E10)</f>
        <v>0.398942118829842,0.45,50035.904800389,8982.64344538595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2026-08-28T00:12:50Z</dcterms:modified>
  <cp:revision>2</cp:revision>
  <dc:subject/>
  <dc:title/>
</cp:coreProperties>
</file>